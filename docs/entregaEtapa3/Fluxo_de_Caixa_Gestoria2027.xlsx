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FLUXO DE CAIXA" sheetId="1" r:id="rId1"/>
  </sheets>
  <calcPr calcId="124519"/>
</workbook>
</file>

<file path=xl/calcChain.xml><?xml version="1.0" encoding="utf-8"?>
<calcChain xmlns="http://schemas.openxmlformats.org/spreadsheetml/2006/main">
  <c r="N31" i="1"/>
  <c r="N30"/>
  <c r="N29"/>
  <c r="N20"/>
  <c r="N19"/>
  <c r="N18"/>
  <c r="N17"/>
  <c r="N16"/>
  <c r="N15"/>
  <c r="N14"/>
  <c r="M10"/>
  <c r="L10"/>
  <c r="K10"/>
  <c r="J10"/>
  <c r="I10"/>
  <c r="H10"/>
  <c r="G10"/>
  <c r="F10"/>
  <c r="E10"/>
  <c r="D10"/>
  <c r="C10"/>
  <c r="B10"/>
  <c r="M9"/>
  <c r="L9"/>
  <c r="K9"/>
  <c r="J9"/>
  <c r="I9"/>
  <c r="H9"/>
  <c r="G9"/>
  <c r="F9"/>
  <c r="E9"/>
  <c r="D9"/>
  <c r="C9"/>
  <c r="B9"/>
  <c r="M8"/>
  <c r="M21" s="1"/>
  <c r="M22" s="1"/>
  <c r="L8"/>
  <c r="L21" s="1"/>
  <c r="L22" s="1"/>
  <c r="K8"/>
  <c r="K21" s="1"/>
  <c r="K22" s="1"/>
  <c r="J8"/>
  <c r="I8"/>
  <c r="I11" s="1"/>
  <c r="H8"/>
  <c r="H11" s="1"/>
  <c r="G8"/>
  <c r="G21" s="1"/>
  <c r="G22" s="1"/>
  <c r="F8"/>
  <c r="E8"/>
  <c r="E11" s="1"/>
  <c r="D8"/>
  <c r="D21" s="1"/>
  <c r="D22" s="1"/>
  <c r="C8"/>
  <c r="C21" s="1"/>
  <c r="C22" s="1"/>
  <c r="B8"/>
  <c r="N7"/>
  <c r="N5"/>
  <c r="E23" l="1"/>
  <c r="I21"/>
  <c r="I22" s="1"/>
  <c r="I23" s="1"/>
  <c r="M11"/>
  <c r="M23" s="1"/>
  <c r="E21"/>
  <c r="E22" s="1"/>
  <c r="N8"/>
  <c r="B21"/>
  <c r="F21"/>
  <c r="F22" s="1"/>
  <c r="J21"/>
  <c r="J22" s="1"/>
  <c r="N10"/>
  <c r="N9"/>
  <c r="D11"/>
  <c r="D23" s="1"/>
  <c r="L11"/>
  <c r="L23" s="1"/>
  <c r="H21"/>
  <c r="H22" s="1"/>
  <c r="H23" s="1"/>
  <c r="C11"/>
  <c r="C23" s="1"/>
  <c r="G11"/>
  <c r="G23" s="1"/>
  <c r="K11"/>
  <c r="K23" s="1"/>
  <c r="B11"/>
  <c r="F11"/>
  <c r="F23" s="1"/>
  <c r="J11"/>
  <c r="J23" s="1"/>
  <c r="N21" l="1"/>
  <c r="B22"/>
  <c r="N22" s="1"/>
  <c r="N11"/>
  <c r="B23" l="1"/>
  <c r="N23" s="1"/>
  <c r="B24" l="1"/>
  <c r="C5" s="1"/>
  <c r="C24" s="1"/>
  <c r="D5" s="1"/>
  <c r="D24" s="1"/>
  <c r="E5" s="1"/>
  <c r="E24" s="1"/>
  <c r="F5" s="1"/>
  <c r="F24" s="1"/>
  <c r="G5" s="1"/>
  <c r="G24" s="1"/>
  <c r="H5" s="1"/>
  <c r="H24" s="1"/>
  <c r="I5" s="1"/>
  <c r="I24" s="1"/>
  <c r="J5" s="1"/>
  <c r="J24" s="1"/>
  <c r="K5" s="1"/>
  <c r="K24" s="1"/>
  <c r="L5" s="1"/>
  <c r="L24" s="1"/>
  <c r="M5" s="1"/>
  <c r="M24" s="1"/>
  <c r="N24" s="1"/>
</calcChain>
</file>

<file path=xl/sharedStrings.xml><?xml version="1.0" encoding="utf-8"?>
<sst xmlns="http://schemas.openxmlformats.org/spreadsheetml/2006/main" count="39" uniqueCount="33">
  <si>
    <t>Gestoria - Fluxo de caixa 2027</t>
  </si>
  <si>
    <t>CATEGORIA</t>
  </si>
  <si>
    <t>TOTAL 2027</t>
  </si>
  <si>
    <t>Saldo inicial</t>
  </si>
  <si>
    <t>ENTRADAS</t>
  </si>
  <si>
    <t>Investimento dos sócios</t>
  </si>
  <si>
    <t>Assinaturas - Plano Comum</t>
  </si>
  <si>
    <t>Assinaturas - Plano Médio</t>
  </si>
  <si>
    <t>Assinaturas - Plano Completo</t>
  </si>
  <si>
    <t>Total de entradas</t>
  </si>
  <si>
    <t>SAÍDAS</t>
  </si>
  <si>
    <t>Aluguel</t>
  </si>
  <si>
    <t>Água</t>
  </si>
  <si>
    <t>Luz</t>
  </si>
  <si>
    <t>Provedores de internet</t>
  </si>
  <si>
    <t>Serviços de inteligência artificial</t>
  </si>
  <si>
    <t>Serviços de hospedagem</t>
  </si>
  <si>
    <t>Contabilidade</t>
  </si>
  <si>
    <t>Possíveis impostos</t>
  </si>
  <si>
    <t>Total de saídas</t>
  </si>
  <si>
    <t>RESULTADO DO MÊS</t>
  </si>
  <si>
    <t>SALDO FINAL</t>
  </si>
  <si>
    <t>PREMISSAS EDITÁVEIS</t>
  </si>
  <si>
    <t>Assinantes por plano</t>
  </si>
  <si>
    <t>DEZ/27</t>
  </si>
  <si>
    <t>Plano Comum</t>
  </si>
  <si>
    <t>Plano Médio</t>
  </si>
  <si>
    <t>Plano Completo</t>
  </si>
  <si>
    <t>VALORES E TAXAS</t>
  </si>
  <si>
    <t>VALOR</t>
  </si>
  <si>
    <t>OBSERVAÇÃO</t>
  </si>
  <si>
    <t>Mensalidade por cliente</t>
  </si>
  <si>
    <t>Estimativa sobre a receita de assinaturas</t>
  </si>
</sst>
</file>

<file path=xl/styles.xml><?xml version="1.0" encoding="utf-8"?>
<styleSheet xmlns="http://schemas.openxmlformats.org/spreadsheetml/2006/main">
  <numFmts count="3">
    <numFmt numFmtId="164" formatCode="&quot;R$&quot;\ #,##0.00;[Red]\(&quot;R$&quot;\ #,##0.00\);\-"/>
    <numFmt numFmtId="165" formatCode="0.0%"/>
    <numFmt numFmtId="166" formatCode="\ \ @"/>
  </numFmts>
  <fonts count="9">
    <font>
      <sz val="11"/>
      <name val="Carlito"/>
    </font>
    <font>
      <sz val="10"/>
      <color rgb="FF172033"/>
      <name val="Arial"/>
    </font>
    <font>
      <b/>
      <sz val="15"/>
      <color rgb="FF07172E"/>
      <name val="Arial"/>
    </font>
    <font>
      <b/>
      <sz val="10"/>
      <color rgb="FFFFFFFF"/>
      <name val="Arial"/>
    </font>
    <font>
      <b/>
      <sz val="10"/>
      <color rgb="FF07172E"/>
      <name val="Arial"/>
    </font>
    <font>
      <b/>
      <sz val="10"/>
      <color rgb="FF1F5FBF"/>
      <name val="Arial"/>
    </font>
    <font>
      <b/>
      <sz val="10"/>
      <color rgb="FF149B6E"/>
      <name val="Arial"/>
    </font>
    <font>
      <b/>
      <sz val="10"/>
      <color rgb="FFE75872"/>
      <name val="Arial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4CC"/>
      </patternFill>
    </fill>
    <fill>
      <patternFill patternType="solid">
        <fgColor rgb="FF07172E"/>
      </patternFill>
    </fill>
    <fill>
      <patternFill patternType="solid">
        <fgColor rgb="FFF4F7FB"/>
      </patternFill>
    </fill>
    <fill>
      <patternFill patternType="solid">
        <fgColor rgb="FFE8F6F0"/>
      </patternFill>
    </fill>
    <fill>
      <patternFill patternType="solid">
        <fgColor rgb="FFFCECEF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2369E8"/>
      </bottom>
      <diagonal/>
    </border>
    <border>
      <left/>
      <right style="thin">
        <color rgb="FFFFFFFF"/>
      </right>
      <top/>
      <bottom style="thin">
        <color rgb="FF07172E"/>
      </bottom>
      <diagonal/>
    </border>
    <border>
      <left style="thin">
        <color rgb="FFFFFFFF"/>
      </left>
      <right/>
      <top/>
      <bottom style="thin">
        <color rgb="FF07172E"/>
      </bottom>
      <diagonal/>
    </border>
    <border>
      <left style="thin">
        <color rgb="FF07172E"/>
      </left>
      <right/>
      <top style="thin">
        <color rgb="FF07172E"/>
      </top>
      <bottom style="thin">
        <color rgb="FF07172E"/>
      </bottom>
      <diagonal/>
    </border>
    <border>
      <left/>
      <right/>
      <top style="thin">
        <color rgb="FF07172E"/>
      </top>
      <bottom style="thin">
        <color rgb="FF07172E"/>
      </bottom>
      <diagonal/>
    </border>
    <border>
      <left/>
      <right style="thin">
        <color rgb="FF07172E"/>
      </right>
      <top style="thin">
        <color rgb="FF07172E"/>
      </top>
      <bottom style="thin">
        <color rgb="FF07172E"/>
      </bottom>
      <diagonal/>
    </border>
    <border>
      <left/>
      <right/>
      <top/>
      <bottom style="thin">
        <color rgb="FFD8E0EA"/>
      </bottom>
      <diagonal/>
    </border>
    <border>
      <left/>
      <right/>
      <top style="thin">
        <color rgb="FFD8E0EA"/>
      </top>
      <bottom style="thin">
        <color rgb="FFD8E0EA"/>
      </bottom>
      <diagonal/>
    </border>
    <border>
      <left/>
      <right/>
      <top style="thin">
        <color rgb="FF149B6E"/>
      </top>
      <bottom style="thin">
        <color rgb="FF149B6E"/>
      </bottom>
      <diagonal/>
    </border>
    <border>
      <left/>
      <right/>
      <top style="thin">
        <color rgb="FFE75872"/>
      </top>
      <bottom style="thin">
        <color rgb="FFE75872"/>
      </bottom>
      <diagonal/>
    </border>
    <border>
      <left style="thin">
        <color rgb="FF07172E"/>
      </left>
      <right/>
      <top style="thin">
        <color rgb="FF07172E"/>
      </top>
      <bottom style="thin">
        <color rgb="FFD8E0EA"/>
      </bottom>
      <diagonal/>
    </border>
    <border>
      <left/>
      <right/>
      <top style="thin">
        <color rgb="FF07172E"/>
      </top>
      <bottom style="thin">
        <color rgb="FFD8E0EA"/>
      </bottom>
      <diagonal/>
    </border>
    <border>
      <left/>
      <right style="thin">
        <color rgb="FF07172E"/>
      </right>
      <top style="thin">
        <color rgb="FF07172E"/>
      </top>
      <bottom style="thin">
        <color rgb="FFD8E0EA"/>
      </bottom>
      <diagonal/>
    </border>
    <border>
      <left style="thin">
        <color rgb="FF07172E"/>
      </left>
      <right/>
      <top style="thin">
        <color rgb="FFD8E0EA"/>
      </top>
      <bottom style="thin">
        <color rgb="FF07172E"/>
      </bottom>
      <diagonal/>
    </border>
    <border>
      <left/>
      <right/>
      <top style="thin">
        <color rgb="FFD8E0EA"/>
      </top>
      <bottom style="thin">
        <color rgb="FF07172E"/>
      </bottom>
      <diagonal/>
    </border>
    <border>
      <left/>
      <right style="thin">
        <color rgb="FF07172E"/>
      </right>
      <top style="thin">
        <color rgb="FFD8E0EA"/>
      </top>
      <bottom style="thin">
        <color rgb="FF07172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3" borderId="3" xfId="0" applyNumberFormat="1" applyFont="1" applyFill="1" applyBorder="1" applyAlignment="1">
      <alignment horizontal="center" vertical="center"/>
    </xf>
    <xf numFmtId="0" fontId="4" fillId="4" borderId="7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right" vertical="center"/>
    </xf>
    <xf numFmtId="164" fontId="1" fillId="0" borderId="7" xfId="0" applyNumberFormat="1" applyFont="1" applyFill="1" applyBorder="1" applyAlignment="1">
      <alignment horizontal="right" vertical="center"/>
    </xf>
    <xf numFmtId="164" fontId="4" fillId="0" borderId="7" xfId="0" applyNumberFormat="1" applyFont="1" applyFill="1" applyBorder="1" applyAlignment="1">
      <alignment horizontal="right" vertical="center"/>
    </xf>
    <xf numFmtId="164" fontId="4" fillId="4" borderId="8" xfId="0" applyNumberFormat="1" applyFont="1" applyFill="1" applyBorder="1" applyAlignment="1">
      <alignment horizontal="right" vertical="center"/>
    </xf>
    <xf numFmtId="164" fontId="5" fillId="2" borderId="8" xfId="0" applyNumberFormat="1" applyFont="1" applyFill="1" applyBorder="1" applyAlignment="1">
      <alignment horizontal="right" vertical="center"/>
    </xf>
    <xf numFmtId="164" fontId="4" fillId="0" borderId="8" xfId="0" applyNumberFormat="1" applyFont="1" applyFill="1" applyBorder="1" applyAlignment="1">
      <alignment horizontal="right" vertical="center"/>
    </xf>
    <xf numFmtId="164" fontId="1" fillId="0" borderId="8" xfId="0" applyNumberFormat="1" applyFont="1" applyFill="1" applyBorder="1" applyAlignment="1">
      <alignment horizontal="right" vertical="center"/>
    </xf>
    <xf numFmtId="164" fontId="6" fillId="5" borderId="9" xfId="0" applyNumberFormat="1" applyFont="1" applyFill="1" applyBorder="1" applyAlignment="1">
      <alignment horizontal="right" vertical="center"/>
    </xf>
    <xf numFmtId="164" fontId="4" fillId="5" borderId="9" xfId="0" applyNumberFormat="1" applyFont="1" applyFill="1" applyBorder="1" applyAlignment="1">
      <alignment horizontal="right" vertical="center"/>
    </xf>
    <xf numFmtId="164" fontId="7" fillId="6" borderId="10" xfId="0" applyNumberFormat="1" applyFont="1" applyFill="1" applyBorder="1" applyAlignment="1">
      <alignment horizontal="right" vertical="center"/>
    </xf>
    <xf numFmtId="164" fontId="4" fillId="6" borderId="10" xfId="0" applyNumberFormat="1" applyFont="1" applyFill="1" applyBorder="1" applyAlignment="1">
      <alignment horizontal="right" vertical="center"/>
    </xf>
    <xf numFmtId="164" fontId="3" fillId="3" borderId="12" xfId="0" applyNumberFormat="1" applyFont="1" applyFill="1" applyBorder="1" applyAlignment="1">
      <alignment horizontal="right" vertical="center"/>
    </xf>
    <xf numFmtId="164" fontId="3" fillId="3" borderId="13" xfId="0" applyNumberFormat="1" applyFont="1" applyFill="1" applyBorder="1" applyAlignment="1">
      <alignment horizontal="right" vertical="center"/>
    </xf>
    <xf numFmtId="164" fontId="3" fillId="3" borderId="15" xfId="0" applyNumberFormat="1" applyFont="1" applyFill="1" applyBorder="1" applyAlignment="1">
      <alignment horizontal="right" vertical="center"/>
    </xf>
    <xf numFmtId="164" fontId="3" fillId="3" borderId="16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3" fillId="3" borderId="5" xfId="0" applyNumberFormat="1" applyFont="1" applyFill="1" applyBorder="1" applyAlignment="1">
      <alignment horizontal="right" vertical="center"/>
    </xf>
    <xf numFmtId="0" fontId="3" fillId="3" borderId="6" xfId="0" applyNumberFormat="1" applyFont="1" applyFill="1" applyBorder="1" applyAlignment="1">
      <alignment horizontal="right" vertical="center"/>
    </xf>
    <xf numFmtId="1" fontId="5" fillId="2" borderId="7" xfId="0" applyNumberFormat="1" applyFont="1" applyFill="1" applyBorder="1" applyAlignment="1">
      <alignment horizontal="right" vertical="center"/>
    </xf>
    <xf numFmtId="1" fontId="1" fillId="0" borderId="7" xfId="0" applyNumberFormat="1" applyFont="1" applyFill="1" applyBorder="1" applyAlignment="1">
      <alignment horizontal="right" vertical="center"/>
    </xf>
    <xf numFmtId="1" fontId="5" fillId="2" borderId="8" xfId="0" applyNumberFormat="1" applyFont="1" applyFill="1" applyBorder="1" applyAlignment="1">
      <alignment horizontal="right" vertical="center"/>
    </xf>
    <xf numFmtId="1" fontId="1" fillId="0" borderId="8" xfId="0" applyNumberFormat="1" applyFont="1" applyFill="1" applyBorder="1" applyAlignment="1">
      <alignment horizontal="right" vertical="center"/>
    </xf>
    <xf numFmtId="0" fontId="1" fillId="0" borderId="7" xfId="0" applyNumberFormat="1" applyFont="1" applyFill="1" applyBorder="1" applyAlignment="1">
      <alignment horizontal="right" vertical="center"/>
    </xf>
    <xf numFmtId="0" fontId="1" fillId="0" borderId="8" xfId="0" applyNumberFormat="1" applyFont="1" applyFill="1" applyBorder="1" applyAlignment="1">
      <alignment horizontal="right" vertical="center"/>
    </xf>
    <xf numFmtId="165" fontId="5" fillId="2" borderId="8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0" fontId="3" fillId="3" borderId="2" xfId="0" applyNumberFormat="1" applyFont="1" applyFill="1" applyBorder="1" applyAlignment="1">
      <alignment horizontal="left" vertical="center"/>
    </xf>
    <xf numFmtId="0" fontId="1" fillId="0" borderId="7" xfId="0" applyNumberFormat="1" applyFont="1" applyFill="1" applyBorder="1" applyAlignment="1">
      <alignment horizontal="left" vertical="center"/>
    </xf>
    <xf numFmtId="0" fontId="4" fillId="4" borderId="8" xfId="0" applyNumberFormat="1" applyFont="1" applyFill="1" applyBorder="1" applyAlignment="1">
      <alignment horizontal="left" vertical="center"/>
    </xf>
    <xf numFmtId="166" fontId="1" fillId="0" borderId="8" xfId="0" applyNumberFormat="1" applyFont="1" applyFill="1" applyBorder="1" applyAlignment="1">
      <alignment horizontal="left" vertical="center"/>
    </xf>
    <xf numFmtId="0" fontId="6" fillId="5" borderId="9" xfId="0" applyNumberFormat="1" applyFont="1" applyFill="1" applyBorder="1" applyAlignment="1">
      <alignment horizontal="left" vertical="center"/>
    </xf>
    <xf numFmtId="0" fontId="1" fillId="0" borderId="8" xfId="0" applyNumberFormat="1" applyFont="1" applyFill="1" applyBorder="1" applyAlignment="1">
      <alignment horizontal="left" vertical="center"/>
    </xf>
    <xf numFmtId="0" fontId="7" fillId="6" borderId="10" xfId="0" applyNumberFormat="1" applyFont="1" applyFill="1" applyBorder="1" applyAlignment="1">
      <alignment horizontal="left" vertical="center"/>
    </xf>
    <xf numFmtId="0" fontId="3" fillId="3" borderId="11" xfId="0" applyNumberFormat="1" applyFont="1" applyFill="1" applyBorder="1" applyAlignment="1">
      <alignment horizontal="left" vertical="center"/>
    </xf>
    <xf numFmtId="0" fontId="3" fillId="3" borderId="14" xfId="0" applyNumberFormat="1" applyFont="1" applyFill="1" applyBorder="1" applyAlignment="1">
      <alignment horizontal="left" vertical="center"/>
    </xf>
    <xf numFmtId="0" fontId="3" fillId="3" borderId="4" xfId="0" applyNumberFormat="1" applyFont="1" applyFill="1" applyBorder="1" applyAlignment="1">
      <alignment horizontal="left" vertical="center"/>
    </xf>
    <xf numFmtId="0" fontId="4" fillId="4" borderId="7" xfId="0" applyNumberFormat="1" applyFont="1" applyFill="1" applyBorder="1" applyAlignment="1">
      <alignment horizontal="left" vertical="center"/>
    </xf>
    <xf numFmtId="0" fontId="8" fillId="7" borderId="8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149B6E"/>
      </font>
      <fill>
        <patternFill patternType="solid">
          <bgColor rgb="FFE8F6F0"/>
        </patternFill>
      </fill>
    </dxf>
    <dxf>
      <font>
        <b/>
        <color rgb="FFE75872"/>
      </font>
      <fill>
        <patternFill patternType="solid">
          <bgColor rgb="FFFCEC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7172E"/>
  </sheetPr>
  <dimension ref="A1:N39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3" sqref="A3"/>
    </sheetView>
  </sheetViews>
  <sheetFormatPr defaultRowHeight="14.25"/>
  <cols>
    <col min="1" max="1" width="38" customWidth="1"/>
    <col min="2" max="2" width="13" customWidth="1"/>
    <col min="3" max="3" width="31.125" customWidth="1"/>
    <col min="4" max="13" width="13" customWidth="1"/>
    <col min="14" max="14" width="15" customWidth="1"/>
  </cols>
  <sheetData>
    <row r="1" spans="1:14">
      <c r="A1" s="30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3.1" customHeight="1">
      <c r="A2" s="3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6.1" customHeight="1">
      <c r="A4" s="32" t="s">
        <v>1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" t="s">
        <v>2</v>
      </c>
    </row>
    <row r="5" spans="1:14" ht="21" customHeight="1">
      <c r="A5" s="33" t="s">
        <v>3</v>
      </c>
      <c r="B5" s="5">
        <v>0</v>
      </c>
      <c r="C5" s="6">
        <f t="shared" ref="C5:M5" si="0">B24</f>
        <v>10579.581999999999</v>
      </c>
      <c r="D5" s="6">
        <f t="shared" si="0"/>
        <v>9623.9939999999988</v>
      </c>
      <c r="E5" s="6">
        <f t="shared" si="0"/>
        <v>9133.235999999999</v>
      </c>
      <c r="F5" s="6">
        <f t="shared" si="0"/>
        <v>9107.3079999999991</v>
      </c>
      <c r="G5" s="6">
        <f t="shared" si="0"/>
        <v>9546.2099999999991</v>
      </c>
      <c r="H5" s="6">
        <f t="shared" si="0"/>
        <v>10449.941999999999</v>
      </c>
      <c r="I5" s="6">
        <f t="shared" si="0"/>
        <v>11818.503999999999</v>
      </c>
      <c r="J5" s="6">
        <f t="shared" si="0"/>
        <v>13651.895999999999</v>
      </c>
      <c r="K5" s="6">
        <f t="shared" si="0"/>
        <v>15950.117999999999</v>
      </c>
      <c r="L5" s="6">
        <f t="shared" si="0"/>
        <v>18713.169999999998</v>
      </c>
      <c r="M5" s="6">
        <f t="shared" si="0"/>
        <v>21941.052</v>
      </c>
      <c r="N5" s="7">
        <f>B5</f>
        <v>0</v>
      </c>
    </row>
    <row r="6" spans="1:14" ht="21" customHeight="1">
      <c r="A6" s="34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1" customHeight="1">
      <c r="A7" s="35" t="s">
        <v>5</v>
      </c>
      <c r="B7" s="9">
        <v>12000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10">
        <f>SUM(B7:M7)</f>
        <v>12000</v>
      </c>
    </row>
    <row r="8" spans="1:14" ht="21" customHeight="1">
      <c r="A8" s="35" t="s">
        <v>6</v>
      </c>
      <c r="B8" s="11">
        <f t="shared" ref="B8:M8" si="1">B29*$B$35</f>
        <v>409</v>
      </c>
      <c r="C8" s="11">
        <f t="shared" si="1"/>
        <v>531.69999999999993</v>
      </c>
      <c r="D8" s="11">
        <f t="shared" si="1"/>
        <v>654.4</v>
      </c>
      <c r="E8" s="11">
        <f t="shared" si="1"/>
        <v>777.1</v>
      </c>
      <c r="F8" s="11">
        <f t="shared" si="1"/>
        <v>899.8</v>
      </c>
      <c r="G8" s="11">
        <f t="shared" si="1"/>
        <v>1022.5</v>
      </c>
      <c r="H8" s="11">
        <f t="shared" si="1"/>
        <v>1145.2</v>
      </c>
      <c r="I8" s="11">
        <f t="shared" si="1"/>
        <v>1267.8999999999999</v>
      </c>
      <c r="J8" s="11">
        <f t="shared" si="1"/>
        <v>1390.6</v>
      </c>
      <c r="K8" s="11">
        <f t="shared" si="1"/>
        <v>1513.3</v>
      </c>
      <c r="L8" s="11">
        <f t="shared" si="1"/>
        <v>1636</v>
      </c>
      <c r="M8" s="11">
        <f t="shared" si="1"/>
        <v>1758.7</v>
      </c>
      <c r="N8" s="10">
        <f>SUM(B8:M8)</f>
        <v>13006.199999999999</v>
      </c>
    </row>
    <row r="9" spans="1:14" ht="21" customHeight="1">
      <c r="A9" s="35" t="s">
        <v>7</v>
      </c>
      <c r="B9" s="11">
        <f t="shared" ref="B9:M9" si="2">B30*$B$36</f>
        <v>496.30000000000007</v>
      </c>
      <c r="C9" s="11">
        <f t="shared" si="2"/>
        <v>638.1</v>
      </c>
      <c r="D9" s="11">
        <f t="shared" si="2"/>
        <v>779.90000000000009</v>
      </c>
      <c r="E9" s="11">
        <f t="shared" si="2"/>
        <v>921.7</v>
      </c>
      <c r="F9" s="11">
        <f t="shared" si="2"/>
        <v>1063.5</v>
      </c>
      <c r="G9" s="11">
        <f t="shared" si="2"/>
        <v>1205.3000000000002</v>
      </c>
      <c r="H9" s="11">
        <f t="shared" si="2"/>
        <v>1347.1000000000001</v>
      </c>
      <c r="I9" s="11">
        <f t="shared" si="2"/>
        <v>1488.9</v>
      </c>
      <c r="J9" s="11">
        <f t="shared" si="2"/>
        <v>1630.7</v>
      </c>
      <c r="K9" s="11">
        <f t="shared" si="2"/>
        <v>1772.5000000000002</v>
      </c>
      <c r="L9" s="11">
        <f t="shared" si="2"/>
        <v>1914.3000000000002</v>
      </c>
      <c r="M9" s="11">
        <f t="shared" si="2"/>
        <v>2056.1000000000004</v>
      </c>
      <c r="N9" s="10">
        <f>SUM(B9:M9)</f>
        <v>15314.400000000003</v>
      </c>
    </row>
    <row r="10" spans="1:14" ht="21" customHeight="1">
      <c r="A10" s="35" t="s">
        <v>8</v>
      </c>
      <c r="B10" s="11">
        <f t="shared" ref="B10:M10" si="3">B31*$B$37</f>
        <v>690</v>
      </c>
      <c r="C10" s="11">
        <f t="shared" si="3"/>
        <v>920</v>
      </c>
      <c r="D10" s="11">
        <f t="shared" si="3"/>
        <v>1150</v>
      </c>
      <c r="E10" s="11">
        <f t="shared" si="3"/>
        <v>1380</v>
      </c>
      <c r="F10" s="11">
        <f t="shared" si="3"/>
        <v>1610</v>
      </c>
      <c r="G10" s="11">
        <f t="shared" si="3"/>
        <v>1840</v>
      </c>
      <c r="H10" s="11">
        <f t="shared" si="3"/>
        <v>2070</v>
      </c>
      <c r="I10" s="11">
        <f t="shared" si="3"/>
        <v>2300</v>
      </c>
      <c r="J10" s="11">
        <f t="shared" si="3"/>
        <v>2530</v>
      </c>
      <c r="K10" s="11">
        <f t="shared" si="3"/>
        <v>2760</v>
      </c>
      <c r="L10" s="11">
        <f t="shared" si="3"/>
        <v>2990</v>
      </c>
      <c r="M10" s="11">
        <f t="shared" si="3"/>
        <v>3220</v>
      </c>
      <c r="N10" s="10">
        <f>SUM(B10:M10)</f>
        <v>23460</v>
      </c>
    </row>
    <row r="11" spans="1:14" ht="21" customHeight="1">
      <c r="A11" s="36" t="s">
        <v>9</v>
      </c>
      <c r="B11" s="12">
        <f t="shared" ref="B11:M11" si="4">SUM(B7:B10)</f>
        <v>13595.3</v>
      </c>
      <c r="C11" s="12">
        <f t="shared" si="4"/>
        <v>2089.8000000000002</v>
      </c>
      <c r="D11" s="12">
        <f t="shared" si="4"/>
        <v>2584.3000000000002</v>
      </c>
      <c r="E11" s="12">
        <f t="shared" si="4"/>
        <v>3078.8</v>
      </c>
      <c r="F11" s="12">
        <f t="shared" si="4"/>
        <v>3573.3</v>
      </c>
      <c r="G11" s="12">
        <f t="shared" si="4"/>
        <v>4067.8</v>
      </c>
      <c r="H11" s="12">
        <f t="shared" si="4"/>
        <v>4562.3</v>
      </c>
      <c r="I11" s="12">
        <f t="shared" si="4"/>
        <v>5056.8</v>
      </c>
      <c r="J11" s="12">
        <f t="shared" si="4"/>
        <v>5551.3</v>
      </c>
      <c r="K11" s="12">
        <f t="shared" si="4"/>
        <v>6045.8</v>
      </c>
      <c r="L11" s="12">
        <f t="shared" si="4"/>
        <v>6540.3</v>
      </c>
      <c r="M11" s="12">
        <f t="shared" si="4"/>
        <v>7034.8</v>
      </c>
      <c r="N11" s="13">
        <f>SUM(B11:M11)</f>
        <v>63780.600000000013</v>
      </c>
    </row>
    <row r="12" spans="1:14" ht="21" customHeight="1">
      <c r="A12" s="37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0"/>
    </row>
    <row r="13" spans="1:14" ht="21" customHeight="1">
      <c r="A13" s="43" t="s">
        <v>10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</row>
    <row r="14" spans="1:14" ht="21" customHeight="1">
      <c r="A14" s="35" t="s">
        <v>11</v>
      </c>
      <c r="B14" s="9">
        <v>1500</v>
      </c>
      <c r="C14" s="9">
        <v>1500</v>
      </c>
      <c r="D14" s="9">
        <v>1500</v>
      </c>
      <c r="E14" s="9">
        <v>1500</v>
      </c>
      <c r="F14" s="9">
        <v>1500</v>
      </c>
      <c r="G14" s="9">
        <v>1500</v>
      </c>
      <c r="H14" s="9">
        <v>1500</v>
      </c>
      <c r="I14" s="9">
        <v>1500</v>
      </c>
      <c r="J14" s="9">
        <v>1500</v>
      </c>
      <c r="K14" s="9">
        <v>1500</v>
      </c>
      <c r="L14" s="9">
        <v>1500</v>
      </c>
      <c r="M14" s="9">
        <v>1500</v>
      </c>
      <c r="N14" s="10">
        <f t="shared" ref="N14:N23" si="5">SUM(B14:M14)</f>
        <v>18000</v>
      </c>
    </row>
    <row r="15" spans="1:14" ht="21" customHeight="1">
      <c r="A15" s="35" t="s">
        <v>12</v>
      </c>
      <c r="B15" s="9">
        <v>120</v>
      </c>
      <c r="C15" s="9">
        <v>120</v>
      </c>
      <c r="D15" s="9">
        <v>120</v>
      </c>
      <c r="E15" s="9">
        <v>120</v>
      </c>
      <c r="F15" s="9">
        <v>120</v>
      </c>
      <c r="G15" s="9">
        <v>120</v>
      </c>
      <c r="H15" s="9">
        <v>120</v>
      </c>
      <c r="I15" s="9">
        <v>120</v>
      </c>
      <c r="J15" s="9">
        <v>120</v>
      </c>
      <c r="K15" s="9">
        <v>120</v>
      </c>
      <c r="L15" s="9">
        <v>120</v>
      </c>
      <c r="M15" s="9">
        <v>120</v>
      </c>
      <c r="N15" s="10">
        <f t="shared" si="5"/>
        <v>1440</v>
      </c>
    </row>
    <row r="16" spans="1:14" ht="21" customHeight="1">
      <c r="A16" s="35" t="s">
        <v>13</v>
      </c>
      <c r="B16" s="9">
        <v>300</v>
      </c>
      <c r="C16" s="9">
        <v>300</v>
      </c>
      <c r="D16" s="9">
        <v>300</v>
      </c>
      <c r="E16" s="9">
        <v>300</v>
      </c>
      <c r="F16" s="9">
        <v>300</v>
      </c>
      <c r="G16" s="9">
        <v>300</v>
      </c>
      <c r="H16" s="9">
        <v>300</v>
      </c>
      <c r="I16" s="9">
        <v>300</v>
      </c>
      <c r="J16" s="9">
        <v>300</v>
      </c>
      <c r="K16" s="9">
        <v>300</v>
      </c>
      <c r="L16" s="9">
        <v>300</v>
      </c>
      <c r="M16" s="9">
        <v>300</v>
      </c>
      <c r="N16" s="10">
        <f t="shared" si="5"/>
        <v>3600</v>
      </c>
    </row>
    <row r="17" spans="1:14" ht="21" customHeight="1">
      <c r="A17" s="35" t="s">
        <v>14</v>
      </c>
      <c r="B17" s="9">
        <v>150</v>
      </c>
      <c r="C17" s="9">
        <v>150</v>
      </c>
      <c r="D17" s="9">
        <v>150</v>
      </c>
      <c r="E17" s="9">
        <v>150</v>
      </c>
      <c r="F17" s="9">
        <v>150</v>
      </c>
      <c r="G17" s="9">
        <v>150</v>
      </c>
      <c r="H17" s="9">
        <v>150</v>
      </c>
      <c r="I17" s="9">
        <v>150</v>
      </c>
      <c r="J17" s="9">
        <v>150</v>
      </c>
      <c r="K17" s="9">
        <v>150</v>
      </c>
      <c r="L17" s="9">
        <v>150</v>
      </c>
      <c r="M17" s="9">
        <v>150</v>
      </c>
      <c r="N17" s="10">
        <f t="shared" si="5"/>
        <v>1800</v>
      </c>
    </row>
    <row r="18" spans="1:14" ht="21" customHeight="1">
      <c r="A18" s="35" t="s">
        <v>15</v>
      </c>
      <c r="B18" s="9">
        <v>200</v>
      </c>
      <c r="C18" s="9">
        <v>200</v>
      </c>
      <c r="D18" s="9">
        <v>200</v>
      </c>
      <c r="E18" s="9">
        <v>200</v>
      </c>
      <c r="F18" s="9">
        <v>200</v>
      </c>
      <c r="G18" s="9">
        <v>200</v>
      </c>
      <c r="H18" s="9">
        <v>200</v>
      </c>
      <c r="I18" s="9">
        <v>200</v>
      </c>
      <c r="J18" s="9">
        <v>200</v>
      </c>
      <c r="K18" s="9">
        <v>200</v>
      </c>
      <c r="L18" s="9">
        <v>200</v>
      </c>
      <c r="M18" s="9">
        <v>200</v>
      </c>
      <c r="N18" s="10">
        <f t="shared" si="5"/>
        <v>2400</v>
      </c>
    </row>
    <row r="19" spans="1:14" ht="21" customHeight="1">
      <c r="A19" s="35" t="s">
        <v>16</v>
      </c>
      <c r="B19" s="9">
        <v>300</v>
      </c>
      <c r="C19" s="9">
        <v>300</v>
      </c>
      <c r="D19" s="9">
        <v>300</v>
      </c>
      <c r="E19" s="9">
        <v>300</v>
      </c>
      <c r="F19" s="9">
        <v>300</v>
      </c>
      <c r="G19" s="9">
        <v>300</v>
      </c>
      <c r="H19" s="9">
        <v>300</v>
      </c>
      <c r="I19" s="9">
        <v>300</v>
      </c>
      <c r="J19" s="9">
        <v>300</v>
      </c>
      <c r="K19" s="9">
        <v>300</v>
      </c>
      <c r="L19" s="9">
        <v>300</v>
      </c>
      <c r="M19" s="9">
        <v>300</v>
      </c>
      <c r="N19" s="10">
        <f t="shared" si="5"/>
        <v>3600</v>
      </c>
    </row>
    <row r="20" spans="1:14" ht="21" customHeight="1">
      <c r="A20" s="35" t="s">
        <v>17</v>
      </c>
      <c r="B20" s="9">
        <v>350</v>
      </c>
      <c r="C20" s="9">
        <v>350</v>
      </c>
      <c r="D20" s="9">
        <v>350</v>
      </c>
      <c r="E20" s="9">
        <v>350</v>
      </c>
      <c r="F20" s="9">
        <v>350</v>
      </c>
      <c r="G20" s="9">
        <v>350</v>
      </c>
      <c r="H20" s="9">
        <v>350</v>
      </c>
      <c r="I20" s="9">
        <v>350</v>
      </c>
      <c r="J20" s="9">
        <v>350</v>
      </c>
      <c r="K20" s="9">
        <v>350</v>
      </c>
      <c r="L20" s="9">
        <v>350</v>
      </c>
      <c r="M20" s="9">
        <v>350</v>
      </c>
      <c r="N20" s="10">
        <f t="shared" si="5"/>
        <v>4200</v>
      </c>
    </row>
    <row r="21" spans="1:14" ht="21" customHeight="1">
      <c r="A21" s="35" t="s">
        <v>18</v>
      </c>
      <c r="B21" s="11">
        <f t="shared" ref="B21:M21" si="6">SUM(B8:B10)*$B$38</f>
        <v>95.718000000000004</v>
      </c>
      <c r="C21" s="11">
        <f t="shared" si="6"/>
        <v>125.38800000000001</v>
      </c>
      <c r="D21" s="11">
        <f t="shared" si="6"/>
        <v>155.05799999999999</v>
      </c>
      <c r="E21" s="11">
        <f t="shared" si="6"/>
        <v>184.72800000000001</v>
      </c>
      <c r="F21" s="11">
        <f t="shared" si="6"/>
        <v>214.398</v>
      </c>
      <c r="G21" s="11">
        <f t="shared" si="6"/>
        <v>244.06800000000001</v>
      </c>
      <c r="H21" s="11">
        <f t="shared" si="6"/>
        <v>273.738</v>
      </c>
      <c r="I21" s="11">
        <f t="shared" si="6"/>
        <v>303.40800000000002</v>
      </c>
      <c r="J21" s="11">
        <f t="shared" si="6"/>
        <v>333.07799999999997</v>
      </c>
      <c r="K21" s="11">
        <f t="shared" si="6"/>
        <v>362.74799999999999</v>
      </c>
      <c r="L21" s="11">
        <f t="shared" si="6"/>
        <v>392.41800000000001</v>
      </c>
      <c r="M21" s="11">
        <f t="shared" si="6"/>
        <v>422.08800000000002</v>
      </c>
      <c r="N21" s="10">
        <f t="shared" si="5"/>
        <v>3106.8360000000002</v>
      </c>
    </row>
    <row r="22" spans="1:14" ht="21" customHeight="1">
      <c r="A22" s="38" t="s">
        <v>19</v>
      </c>
      <c r="B22" s="14">
        <f t="shared" ref="B22:M22" si="7">SUM(B14:B21)</f>
        <v>3015.7179999999998</v>
      </c>
      <c r="C22" s="14">
        <f t="shared" si="7"/>
        <v>3045.3879999999999</v>
      </c>
      <c r="D22" s="14">
        <f t="shared" si="7"/>
        <v>3075.058</v>
      </c>
      <c r="E22" s="14">
        <f t="shared" si="7"/>
        <v>3104.7280000000001</v>
      </c>
      <c r="F22" s="14">
        <f t="shared" si="7"/>
        <v>3134.3980000000001</v>
      </c>
      <c r="G22" s="14">
        <f t="shared" si="7"/>
        <v>3164.0680000000002</v>
      </c>
      <c r="H22" s="14">
        <f t="shared" si="7"/>
        <v>3193.7379999999998</v>
      </c>
      <c r="I22" s="14">
        <f t="shared" si="7"/>
        <v>3223.4079999999999</v>
      </c>
      <c r="J22" s="14">
        <f t="shared" si="7"/>
        <v>3253.078</v>
      </c>
      <c r="K22" s="14">
        <f t="shared" si="7"/>
        <v>3282.748</v>
      </c>
      <c r="L22" s="14">
        <f t="shared" si="7"/>
        <v>3312.4180000000001</v>
      </c>
      <c r="M22" s="14">
        <f t="shared" si="7"/>
        <v>3342.0880000000002</v>
      </c>
      <c r="N22" s="15">
        <f t="shared" si="5"/>
        <v>38146.836000000003</v>
      </c>
    </row>
    <row r="23" spans="1:14" ht="21" customHeight="1">
      <c r="A23" s="39" t="s">
        <v>20</v>
      </c>
      <c r="B23" s="16">
        <f t="shared" ref="B23:M23" si="8">B11-B22</f>
        <v>10579.581999999999</v>
      </c>
      <c r="C23" s="16">
        <f t="shared" si="8"/>
        <v>-955.58799999999974</v>
      </c>
      <c r="D23" s="16">
        <f t="shared" si="8"/>
        <v>-490.75799999999981</v>
      </c>
      <c r="E23" s="16">
        <f t="shared" si="8"/>
        <v>-25.927999999999884</v>
      </c>
      <c r="F23" s="16">
        <f t="shared" si="8"/>
        <v>438.90200000000004</v>
      </c>
      <c r="G23" s="16">
        <f t="shared" si="8"/>
        <v>903.73199999999997</v>
      </c>
      <c r="H23" s="16">
        <f t="shared" si="8"/>
        <v>1368.5620000000004</v>
      </c>
      <c r="I23" s="16">
        <f t="shared" si="8"/>
        <v>1833.3920000000003</v>
      </c>
      <c r="J23" s="16">
        <f t="shared" si="8"/>
        <v>2298.2220000000002</v>
      </c>
      <c r="K23" s="16">
        <f t="shared" si="8"/>
        <v>2763.0520000000001</v>
      </c>
      <c r="L23" s="16">
        <f t="shared" si="8"/>
        <v>3227.8820000000001</v>
      </c>
      <c r="M23" s="16">
        <f t="shared" si="8"/>
        <v>3692.712</v>
      </c>
      <c r="N23" s="17">
        <f t="shared" si="5"/>
        <v>25633.763999999999</v>
      </c>
    </row>
    <row r="24" spans="1:14" ht="21" customHeight="1">
      <c r="A24" s="40" t="s">
        <v>21</v>
      </c>
      <c r="B24" s="18">
        <f t="shared" ref="B24:M24" si="9">B5+B23</f>
        <v>10579.581999999999</v>
      </c>
      <c r="C24" s="18">
        <f t="shared" si="9"/>
        <v>9623.9939999999988</v>
      </c>
      <c r="D24" s="18">
        <f t="shared" si="9"/>
        <v>9133.235999999999</v>
      </c>
      <c r="E24" s="18">
        <f t="shared" si="9"/>
        <v>9107.3079999999991</v>
      </c>
      <c r="F24" s="18">
        <f t="shared" si="9"/>
        <v>9546.2099999999991</v>
      </c>
      <c r="G24" s="18">
        <f t="shared" si="9"/>
        <v>10449.941999999999</v>
      </c>
      <c r="H24" s="18">
        <f t="shared" si="9"/>
        <v>11818.503999999999</v>
      </c>
      <c r="I24" s="18">
        <f t="shared" si="9"/>
        <v>13651.895999999999</v>
      </c>
      <c r="J24" s="18">
        <f t="shared" si="9"/>
        <v>15950.117999999999</v>
      </c>
      <c r="K24" s="18">
        <f t="shared" si="9"/>
        <v>18713.169999999998</v>
      </c>
      <c r="L24" s="18">
        <f t="shared" si="9"/>
        <v>21941.052</v>
      </c>
      <c r="M24" s="18">
        <f t="shared" si="9"/>
        <v>25633.763999999999</v>
      </c>
      <c r="N24" s="19">
        <f>M24</f>
        <v>25633.763999999999</v>
      </c>
    </row>
    <row r="25" spans="1:14">
      <c r="A25" s="3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>
      <c r="A26" s="3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 ht="21" customHeight="1">
      <c r="A27" s="41" t="s">
        <v>22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2"/>
    </row>
    <row r="28" spans="1:14" ht="21" customHeight="1">
      <c r="A28" s="42" t="s">
        <v>23</v>
      </c>
      <c r="N28" s="4" t="s">
        <v>24</v>
      </c>
    </row>
    <row r="29" spans="1:14" ht="21" customHeight="1">
      <c r="A29" s="33" t="s">
        <v>25</v>
      </c>
      <c r="B29" s="23">
        <v>10</v>
      </c>
      <c r="C29" s="23">
        <v>13</v>
      </c>
      <c r="D29" s="23">
        <v>16</v>
      </c>
      <c r="E29" s="23">
        <v>19</v>
      </c>
      <c r="F29" s="23">
        <v>22</v>
      </c>
      <c r="G29" s="23">
        <v>25</v>
      </c>
      <c r="H29" s="23">
        <v>28</v>
      </c>
      <c r="I29" s="23">
        <v>31</v>
      </c>
      <c r="J29" s="23">
        <v>34</v>
      </c>
      <c r="K29" s="23">
        <v>37</v>
      </c>
      <c r="L29" s="23">
        <v>40</v>
      </c>
      <c r="M29" s="23">
        <v>43</v>
      </c>
      <c r="N29" s="24">
        <f>M29</f>
        <v>43</v>
      </c>
    </row>
    <row r="30" spans="1:14" ht="21" customHeight="1">
      <c r="A30" s="37" t="s">
        <v>26</v>
      </c>
      <c r="B30" s="25">
        <v>7</v>
      </c>
      <c r="C30" s="25">
        <v>9</v>
      </c>
      <c r="D30" s="25">
        <v>11</v>
      </c>
      <c r="E30" s="25">
        <v>13</v>
      </c>
      <c r="F30" s="25">
        <v>15</v>
      </c>
      <c r="G30" s="25">
        <v>17</v>
      </c>
      <c r="H30" s="25">
        <v>19</v>
      </c>
      <c r="I30" s="25">
        <v>21</v>
      </c>
      <c r="J30" s="25">
        <v>23</v>
      </c>
      <c r="K30" s="25">
        <v>25</v>
      </c>
      <c r="L30" s="25">
        <v>27</v>
      </c>
      <c r="M30" s="25">
        <v>29</v>
      </c>
      <c r="N30" s="26">
        <f>M30</f>
        <v>29</v>
      </c>
    </row>
    <row r="31" spans="1:14" ht="21" customHeight="1">
      <c r="A31" s="37" t="s">
        <v>27</v>
      </c>
      <c r="B31" s="25">
        <v>3</v>
      </c>
      <c r="C31" s="25">
        <v>4</v>
      </c>
      <c r="D31" s="25">
        <v>5</v>
      </c>
      <c r="E31" s="25">
        <v>6</v>
      </c>
      <c r="F31" s="25">
        <v>7</v>
      </c>
      <c r="G31" s="25">
        <v>8</v>
      </c>
      <c r="H31" s="25">
        <v>9</v>
      </c>
      <c r="I31" s="25">
        <v>10</v>
      </c>
      <c r="J31" s="25">
        <v>11</v>
      </c>
      <c r="K31" s="25">
        <v>12</v>
      </c>
      <c r="L31" s="25">
        <v>13</v>
      </c>
      <c r="M31" s="25">
        <v>14</v>
      </c>
      <c r="N31" s="26">
        <f>M31</f>
        <v>14</v>
      </c>
    </row>
    <row r="32" spans="1:14" ht="21" customHeight="1">
      <c r="A32" s="3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ht="21" customHeight="1">
      <c r="A33" s="3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21" customHeight="1">
      <c r="A34" s="41" t="s">
        <v>28</v>
      </c>
      <c r="B34" s="21" t="s">
        <v>29</v>
      </c>
      <c r="C34" s="22" t="s">
        <v>30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1:14" ht="21" customHeight="1">
      <c r="A35" s="33" t="s">
        <v>25</v>
      </c>
      <c r="B35" s="5">
        <v>40.9</v>
      </c>
      <c r="C35" s="27" t="s">
        <v>31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21" customHeight="1">
      <c r="A36" s="37" t="s">
        <v>26</v>
      </c>
      <c r="B36" s="9">
        <v>70.900000000000006</v>
      </c>
      <c r="C36" s="28" t="s">
        <v>31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 ht="21" customHeight="1">
      <c r="A37" s="37" t="s">
        <v>27</v>
      </c>
      <c r="B37" s="9">
        <v>230</v>
      </c>
      <c r="C37" s="28" t="s">
        <v>31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21" customHeight="1">
      <c r="A38" s="37" t="s">
        <v>18</v>
      </c>
      <c r="B38" s="29">
        <v>0.06</v>
      </c>
      <c r="C38" s="28" t="s">
        <v>32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1:14">
      <c r="A39" s="30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</sheetData>
  <conditionalFormatting sqref="B23:M23">
    <cfRule type="cellIs" dxfId="1" priority="1" operator="lessThan">
      <formula>0</formula>
    </cfRule>
    <cfRule type="cellIs" dxfId="0" priority="2" operator="greaterThanOrEqual">
      <formula>0</formula>
    </cfRule>
  </conditionalFormatting>
  <dataValidations count="1">
    <dataValidation type="whole" operator="greaterThanOrEqual" sqref="B29:M31">
      <formula1>0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FLUXO DE CAIXA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avance desenv</dc:creator>
  <cp:lastModifiedBy>avance desenv</cp:lastModifiedBy>
  <dcterms:created xsi:type="dcterms:W3CDTF">2026-10-23T17:26:04Z</dcterms:created>
  <dcterms:modified xsi:type="dcterms:W3CDTF">2026-10-23T17:43:51Z</dcterms:modified>
</cp:coreProperties>
</file>